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db5a69df3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98285285559b41b3"/>
    <x:sheet xmlns:r="http://schemas.openxmlformats.org/officeDocument/2006/relationships" name="实测质量" sheetId="2" r:id="R1d4c0500a6044dd4"/>
    <x:sheet xmlns:r="http://schemas.openxmlformats.org/officeDocument/2006/relationships" name="机械参数" sheetId="3" r:id="R2c58704d27d84ed0"/>
    <x:sheet xmlns:r="http://schemas.openxmlformats.org/officeDocument/2006/relationships" name="文件用途与假设" sheetId="4" r:id="R145809b4d66d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0"/>
    <x:numFmt numFmtId="202" formatCode="0.000"/>
    <x:numFmt numFmtId="203" formatCode="0.000000"/>
    <x:numFmt numFmtId="204" formatCode="0.00000E+00"/>
  </x:numFmts>
  <x:fonts count="6">
    <x:font>
      <x:sz val="11"/>
      <x:name val="Carlito"/>
    </x:font>
    <x:font>
      <x:sz val="11"/>
      <x:color rgb="FF233248"/>
      <x:name val="Microsoft YaHei"/>
    </x:font>
    <x:font>
      <x:b/>
      <x:sz val="16"/>
      <x:color rgb="FF17395C"/>
      <x:name val="Microsoft YaHei"/>
    </x:font>
    <x:font>
      <x:b/>
      <x:sz val="11"/>
      <x:color rgb="FFFFFFFF"/>
      <x:name val="Microsoft YaHei"/>
    </x:font>
    <x:font>
      <x:sz val="11"/>
      <x:color rgb="FF1E60A4"/>
      <x:name val="Microsoft YaHei"/>
    </x:font>
    <x:font>
      <x:b/>
      <x:sz val="11"/>
      <x:color rgb="FF23324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34967"/>
      </x:patternFill>
    </x:fill>
    <x:fill>
      <x:patternFill patternType="solid">
        <x:fgColor rgb="FFF1F5F8"/>
      </x:patternFill>
    </x:fill>
    <x:fill>
      <x:patternFill patternType="solid">
        <x:fgColor rgb="FFDCE8F1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397AB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4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1cd94a7ba4989" /><Relationship Type="http://schemas.openxmlformats.org/officeDocument/2006/relationships/theme" Target="/xl/theme/theme1.xml" Id="Rb4db97200be2474e" /><Relationship Type="http://schemas.openxmlformats.org/officeDocument/2006/relationships/sharedStrings" Target="/xl/sharedStrings.xml" Id="Ra12372c0d1c440d0" /><Relationship Type="http://schemas.openxmlformats.org/officeDocument/2006/relationships/worksheet" Target="/xl/worksheets/sheet1.xml" Id="R98285285559b41b3" /><Relationship Type="http://schemas.openxmlformats.org/officeDocument/2006/relationships/worksheet" Target="/xl/worksheets/sheet2.xml" Id="R1d4c0500a6044dd4" /><Relationship Type="http://schemas.openxmlformats.org/officeDocument/2006/relationships/worksheet" Target="/xl/worksheets/sheet3.xml" Id="R2c58704d27d84ed0" /><Relationship Type="http://schemas.openxmlformats.org/officeDocument/2006/relationships/worksheet" Target="/xl/worksheets/sheet4.xml" Id="R145809b4d66d43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de1da8f363544d1" /><Relationship Type="http://schemas.openxmlformats.org/officeDocument/2006/relationships/image" Target="/xl/media/image2.png" Id="R66e11a95fc8c4c2f" /><Relationship Type="http://schemas.openxmlformats.org/officeDocument/2006/relationships/image" Target="/xl/media/image3.png" Id="R1ab0fc157a3e48d9" /><Relationship Type="http://schemas.openxmlformats.org/officeDocument/2006/relationships/image" Target="/xl/media/image4.png" Id="R7654c5fcffbb47b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4953000" cy="3533775"/>
    <xdr:pic>
      <xdr:nvPicPr>
        <xdr:cNvPr id="1" name="e307dfbd-d9b5-4258-8f6e-f25a656d18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e1da8f363544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</xdr:row>
      <xdr:rowOff>0</xdr:rowOff>
    </xdr:from>
    <xdr:ext cx="4953000" cy="3533775"/>
    <xdr:pic>
      <xdr:nvPicPr>
        <xdr:cNvPr id="2" name="cf91928a-22d8-4072-a20a-ebb96b8516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e11a95fc8c4c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</xdr:row>
      <xdr:rowOff>0</xdr:rowOff>
    </xdr:from>
    <xdr:ext cx="4953000" cy="3533775"/>
    <xdr:pic>
      <xdr:nvPicPr>
        <xdr:cNvPr id="3" name="a47efe70-ce2a-4cad-9fdf-51177ec32e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b0fc157a3e48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22</xdr:row>
      <xdr:rowOff>0</xdr:rowOff>
    </xdr:from>
    <xdr:ext cx="4953000" cy="3533775"/>
    <xdr:pic>
      <xdr:nvPicPr>
        <xdr:cNvPr id="4" name="cd586090-7f09-4a6a-952f-eb5f88bbb5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54c5fcffbb47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13b40aac8944249" /></Relationships>
</file>

<file path=xl/worksheets/sheet1.xml><?xml version="1.0" encoding="utf-8"?>
<x:worksheet xmlns:x="http://schemas.openxmlformats.org/spreadsheetml/2006/main">
  <x:sheetPr>
    <x:tabColor rgb="FF234967"/>
  </x:sheetPr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ZD2808 平衡车模型档案</x:v>
      </x:c>
      <x:c r="B2" s="2"/>
      <x:c r="C2" s="2"/>
      <x:c r="D2" s="2"/>
      <x:c r="E2" s="2"/>
      <x:c r="F2" s="2"/>
    </x:row>
    <x:row r="3" ht="25" customHeight="1">
      <x:c r="A3" s="4"/>
      <x:c r="B3" s="4"/>
      <x:c r="C3" s="4"/>
      <x:c r="D3" s="4"/>
      <x:c r="E3" s="4"/>
      <x:c r="F3" s="4"/>
    </x:row>
    <x:row r="4" ht="25" customHeight="1">
      <x:c r="A4" s="2" t="str">
        <x:v>2026-10-17 · 最终整理版 · 两轮独立自转，车身可俯仰</x:v>
      </x:c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25" customHeight="1">
      <x:c r="A6" s="2"/>
      <x:c r="B6" s="2"/>
      <x:c r="C6" s="2"/>
      <x:c r="D6" s="2"/>
      <x:c r="E6" s="2"/>
      <x:c r="F6" s="2"/>
    </x:row>
    <x:row r="7" ht="25" customHeight="1">
      <x:c r="A7" s="2"/>
      <x:c r="B7" s="2"/>
      <x:c r="C7" s="2"/>
      <x:c r="D7" s="2"/>
      <x:c r="E7" s="2"/>
      <x:c r="F7" s="2"/>
    </x:row>
    <x:row r="8" ht="25" customHeight="1">
      <x:c r="A8" s="2"/>
      <x:c r="B8" s="2"/>
      <x:c r="C8" s="2"/>
      <x:c r="D8" s="2"/>
      <x:c r="E8" s="2"/>
      <x:c r="F8" s="2"/>
    </x:row>
    <x:row r="9" ht="25" customHeight="1">
      <x:c r="A9" s="2"/>
      <x:c r="B9" s="2"/>
      <x:c r="C9" s="2"/>
      <x:c r="D9" s="2"/>
      <x:c r="E9" s="2"/>
      <x:c r="F9" s="2"/>
    </x:row>
    <x:row r="10" ht="25" customHeight="1">
      <x:c r="A10" s="2"/>
      <x:c r="B10" s="2"/>
      <x:c r="C10" s="2"/>
      <x:c r="D10" s="2"/>
      <x:c r="E10" s="2"/>
      <x:c r="F10" s="2"/>
    </x:row>
    <x:row r="11" ht="25" customHeight="1">
      <x:c r="A11" s="2"/>
      <x:c r="B11" s="2"/>
      <x:c r="C11" s="2"/>
      <x:c r="D11" s="2"/>
      <x:c r="E11" s="2"/>
      <x:c r="F11" s="2"/>
    </x:row>
    <x:row r="12" ht="25" customHeight="1">
      <x:c r="A12" s="2"/>
      <x:c r="B12" s="2"/>
      <x:c r="C12" s="2"/>
      <x:c r="D12" s="2"/>
      <x:c r="E12" s="2"/>
      <x:c r="F12" s="2"/>
    </x:row>
    <x:row r="13" ht="25" customHeight="1">
      <x:c r="A13" s="2"/>
      <x:c r="B13" s="2"/>
      <x:c r="C13" s="2"/>
      <x:c r="D13" s="2"/>
      <x:c r="E13" s="2"/>
      <x:c r="F13" s="2"/>
    </x:row>
    <x:row r="14" ht="25" customHeight="1">
      <x:c r="A14" s="2"/>
      <x:c r="B14" s="2"/>
      <x:c r="C14" s="2"/>
      <x:c r="D14" s="2"/>
      <x:c r="E14" s="2"/>
      <x:c r="F14" s="2"/>
    </x:row>
    <x:row r="15" ht="25" customHeight="1">
      <x:c r="A15" s="2"/>
      <x:c r="B15" s="2"/>
      <x:c r="C15" s="2"/>
      <x:c r="D15" s="2"/>
      <x:c r="E15" s="2"/>
      <x:c r="F15" s="2"/>
    </x:row>
    <x:row r="16" ht="25" customHeight="1">
      <x:c r="A16" s="2"/>
      <x:c r="B16" s="2"/>
      <x:c r="C16" s="2"/>
      <x:c r="D16" s="2"/>
      <x:c r="E16" s="2"/>
      <x:c r="F16" s="2"/>
    </x:row>
    <x:row r="17" ht="25" customHeight="1">
      <x:c r="A17" s="2"/>
      <x:c r="B17" s="2"/>
      <x:c r="C17" s="2"/>
      <x:c r="D17" s="2"/>
      <x:c r="E17" s="2"/>
      <x:c r="F17" s="2"/>
    </x:row>
    <x:row r="18" ht="25" customHeight="1">
      <x:c r="A18" s="2" t="str">
        <x:v>整车轴测图</x:v>
      </x:c>
      <x:c r="B18" s="2"/>
      <x:c r="C18" s="2"/>
      <x:c r="D18" s="2" t="str">
        <x:v>正视图</x:v>
      </x:c>
      <x:c r="E18" s="2"/>
      <x:c r="F18" s="2"/>
    </x:row>
    <x:row r="19" ht="25" customHeight="1">
      <x:c r="A19" s="2"/>
      <x:c r="B19" s="2"/>
      <x:c r="C19" s="2"/>
      <x:c r="D19" s="2"/>
      <x:c r="E19" s="2"/>
      <x:c r="F19" s="2"/>
    </x:row>
    <x:row r="20" ht="25" customHeight="1">
      <x:c r="A20" s="2"/>
      <x:c r="B20" s="2"/>
      <x:c r="C20" s="2"/>
      <x:c r="D20" s="2"/>
      <x:c r="E20" s="2"/>
      <x:c r="F20" s="2"/>
    </x:row>
    <x:row r="21" ht="25" customHeight="1">
      <x:c r="A21" s="2"/>
      <x:c r="B21" s="2"/>
      <x:c r="C21" s="2"/>
      <x:c r="D21" s="2"/>
      <x:c r="E21" s="2"/>
      <x:c r="F21" s="2"/>
    </x:row>
    <x:row r="22" ht="25" customHeight="1">
      <x:c r="A22" s="2"/>
      <x:c r="B22" s="2"/>
      <x:c r="C22" s="2"/>
      <x:c r="D22" s="2"/>
      <x:c r="E22" s="2"/>
      <x:c r="F22" s="2"/>
    </x:row>
    <x:row r="23" ht="25" customHeight="1">
      <x:c r="A23" s="2"/>
      <x:c r="B23" s="2"/>
      <x:c r="C23" s="2"/>
      <x:c r="D23" s="2"/>
      <x:c r="E23" s="2"/>
      <x:c r="F23" s="2"/>
    </x:row>
    <x:row r="24" ht="25" customHeight="1">
      <x:c r="A24" s="2"/>
      <x:c r="B24" s="2"/>
      <x:c r="C24" s="2"/>
      <x:c r="D24" s="2"/>
      <x:c r="E24" s="2"/>
      <x:c r="F24" s="2"/>
    </x:row>
    <x:row r="25" ht="25" customHeight="1">
      <x:c r="A25" s="2"/>
      <x:c r="B25" s="2"/>
      <x:c r="C25" s="2"/>
      <x:c r="D25" s="2"/>
      <x:c r="E25" s="2"/>
      <x:c r="F25" s="2"/>
    </x:row>
    <x:row r="26" ht="25" customHeight="1">
      <x:c r="A26" s="2"/>
      <x:c r="B26" s="2"/>
      <x:c r="C26" s="2"/>
      <x:c r="D26" s="2"/>
      <x:c r="E26" s="2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2"/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2"/>
      <x:c r="B31" s="2"/>
      <x:c r="C31" s="2"/>
      <x:c r="D31" s="2"/>
      <x:c r="E31" s="2"/>
      <x:c r="F31" s="2"/>
    </x:row>
    <x:row r="32" ht="25" customHeight="1">
      <x:c r="A32" s="2"/>
      <x:c r="B32" s="2"/>
      <x:c r="C32" s="2"/>
      <x:c r="D32" s="2"/>
      <x:c r="E32" s="2"/>
      <x:c r="F32" s="2"/>
    </x:row>
    <x:row r="33" ht="25" customHeight="1">
      <x:c r="A33" s="2"/>
      <x:c r="B33" s="2"/>
      <x:c r="C33" s="2"/>
      <x:c r="D33" s="2"/>
      <x:c r="E33" s="2"/>
      <x:c r="F33" s="2"/>
    </x:row>
    <x:row r="34" ht="25" customHeight="1">
      <x:c r="A34" s="2"/>
      <x:c r="B34" s="2"/>
      <x:c r="C34" s="2"/>
      <x:c r="D34" s="2"/>
      <x:c r="E34" s="2"/>
      <x:c r="F34" s="2"/>
    </x:row>
    <x:row r="35" ht="25" customHeight="1">
      <x:c r="A35" s="2" t="str">
        <x:v>侧视图</x:v>
      </x:c>
      <x:c r="B35" s="2"/>
      <x:c r="C35" s="2"/>
      <x:c r="D35" s="2" t="str">
        <x:v>俯视图</x:v>
      </x:c>
      <x:c r="E35" s="2"/>
      <x:c r="F35" s="2"/>
    </x:row>
    <x:row r="36" ht="25" customHeight="1">
      <x:c r="A36" s="2"/>
      <x:c r="B36" s="2"/>
      <x:c r="C36" s="2"/>
      <x:c r="D36" s="2"/>
      <x:c r="E36" s="2"/>
      <x:c r="F36" s="2"/>
    </x:row>
    <x:row r="37" ht="30" customHeight="1">
      <x:c r="A37" s="7" t="str">
        <x:v>基本信息</x:v>
      </x:c>
      <x:c r="B37" s="7" t="str">
        <x:v>数值</x:v>
      </x:c>
      <x:c r="C37" s="7" t="str">
        <x:v>单位</x:v>
      </x:c>
      <x:c r="D37" s="7" t="str">
        <x:v>坐标与结构</x:v>
      </x:c>
      <x:c r="E37" s="7" t="str">
        <x:v>说明</x:v>
      </x:c>
      <x:c r="F37" s="7" t="str">
        <x:v>单位</x:v>
      </x:c>
    </x:row>
    <x:row r="38" ht="38" customHeight="1">
      <x:c r="A38" s="2" t="str">
        <x:v>CAD X / Y / Z</x:v>
      </x:c>
      <x:c r="B38" s="9" t="str">
        <x:v>轮轴 / 向前 / 向上</x:v>
      </x:c>
      <x:c r="C38" s="2" t="str">
        <x:v>mm</x:v>
      </x:c>
      <x:c r="D38" s="2"/>
      <x:c r="E38" s="11"/>
      <x:c r="F38" s="2"/>
    </x:row>
    <x:row r="39" ht="38" customHeight="1">
      <x:c r="A39" s="8" t="str">
        <x:v>仿真 X / Y / Z</x:v>
      </x:c>
      <x:c r="B39" s="10" t="str">
        <x:v>向前 / 向左 / 向上</x:v>
      </x:c>
      <x:c r="C39" s="8" t="str">
        <x:v>m</x:v>
      </x:c>
      <x:c r="D39" s="2"/>
      <x:c r="E39" s="11"/>
      <x:c r="F39" s="2"/>
    </x:row>
    <x:row r="40" ht="38" customHeight="1">
      <x:c r="A40" s="2" t="str">
        <x:v>仿真原点</x:v>
      </x:c>
      <x:c r="B40" s="9" t="str">
        <x:v>轮轴中点</x:v>
      </x:c>
      <x:c r="C40" s="2" t="str"/>
      <x:c r="D40" s="2"/>
      <x:c r="E40" s="11"/>
      <x:c r="F40" s="2"/>
    </x:row>
    <x:row r="41" ht="38" customHeight="1">
      <x:c r="A41" s="8" t="str">
        <x:v>结构层级</x:v>
      </x:c>
      <x:c r="B41" s="10" t="str">
        <x:v>车身＋左旋转组＋右旋转组</x:v>
      </x:c>
      <x:c r="C41" s="8" t="str"/>
      <x:c r="D41" s="2"/>
      <x:c r="E41" s="11"/>
      <x:c r="F41" s="2"/>
    </x:row>
    <x:row r="42" ht="38" customHeight="1">
      <x:c r="A42" s="2" t="str">
        <x:v>运动关系</x:v>
      </x:c>
      <x:c r="B42" s="9" t="str">
        <x:v>2个独立轮轴关节</x:v>
      </x:c>
      <x:c r="C42" s="2" t="str"/>
      <x:c r="D42" s="2"/>
      <x:c r="E42" s="11"/>
      <x:c r="F42" s="2"/>
    </x:row>
    <x:row r="43" ht="38" customHeight="1">
      <x:c r="A43" s="8" t="str">
        <x:v>质量分配</x:v>
      </x:c>
      <x:c r="B43" s="10" t="str">
        <x:v>实测称重＋几何等效分布</x:v>
      </x:c>
      <x:c r="C43" s="8" t="str"/>
      <x:c r="D43" s="2"/>
      <x:c r="E43" s="11"/>
      <x:c r="F43" s="2"/>
    </x:row>
    <x:row r="44" ht="25" customHeight="1">
      <x:c r="A44" s="2" t="str">
        <x:v>电机型号</x:v>
      </x:c>
      <x:c r="B44" s="2" t="str">
        <x:v>ZD2808-V1.9</x:v>
      </x:c>
      <x:c r="C44" s="2" t="str">
        <x:v>700 KV（标称）</x:v>
      </x:c>
      <x:c r="D44" s="2"/>
      <x:c r="E44" s="2"/>
      <x:c r="F44" s="2"/>
    </x:row>
    <x:row r="45" ht="25" customHeight="1">
      <x:c r="A45" s="8" t="str">
        <x:v>电机外径 / 主体厚度</x:v>
      </x:c>
      <x:c r="B45" s="8" t="str">
        <x:v>35 / 18</x:v>
      </x:c>
      <x:c r="C45" s="8" t="str">
        <x:v>mm</x:v>
      </x:c>
      <x:c r="D45" s="2"/>
      <x:c r="E45" s="2"/>
      <x:c r="F45" s="2"/>
    </x:row>
    <x:row r="46" ht="25" customHeight="1">
      <x:c r="A46" s="2" t="str">
        <x:v>原始 / 整理后对象数</x:v>
      </x:c>
      <x:c r="B46" s="2" t="str">
        <x:v>1275 / 97</x:v>
      </x:c>
      <x:c r="C46" s="2" t="str">
        <x:v>个</x:v>
      </x:c>
      <x:c r="D46" s="2"/>
      <x:c r="E46" s="2"/>
      <x:c r="F46" s="2"/>
    </x:row>
    <x:row r="47" ht="25" customHeight="1">
      <x:c r="A47" s="8" t="str">
        <x:v>整理后可见部件</x:v>
      </x:c>
      <x:c r="B47" s="8" t="n">
        <x:v>23</x:v>
      </x:c>
      <x:c r="C47" s="8" t="str">
        <x:v>个</x:v>
      </x:c>
      <x:c r="D47" s="2"/>
      <x:c r="E47" s="2"/>
      <x:c r="F47" s="2"/>
    </x:row>
    <x:row r="48" ht="25" customHeight="1">
      <x:c r="A48" s="2"/>
      <x:c r="B48" s="2"/>
      <x:c r="C48" s="2"/>
      <x:c r="D48" s="2"/>
      <x:c r="E48" s="2"/>
      <x:c r="F48" s="2"/>
    </x:row>
    <x:row r="49" ht="25" customHeight="1">
      <x:c r="A49" s="2"/>
      <x:c r="B49" s="2"/>
      <x:c r="C49" s="2"/>
      <x:c r="D49" s="2"/>
      <x:c r="E49" s="2"/>
      <x:c r="F49" s="2"/>
    </x:row>
    <x:row r="50" ht="30" customHeight="1">
      <x:c r="A50" s="7" t="str">
        <x:v>主要部件长度</x:v>
      </x:c>
      <x:c r="B50" s="7" t="str">
        <x:v>模型标注值</x:v>
      </x:c>
      <x:c r="C50" s="7" t="str">
        <x:v>单位</x:v>
      </x:c>
      <x:c r="D50" s="2" t="str">
        <x:v>尺寸口径</x:v>
      </x:c>
      <x:c r="E50" s="2"/>
      <x:c r="F50" s="2"/>
    </x:row>
    <x:row r="51" ht="25" customHeight="1">
      <x:c r="A51" s="2" t="str">
        <x:v>整车宽</x:v>
      </x:c>
      <x:c r="B51" s="12" t="n">
        <x:v>169.7364</x:v>
      </x:c>
      <x:c r="C51" s="2" t="str">
        <x:v>mm</x:v>
      </x:c>
      <x:c r="D51" s="2" t="str">
        <x:v>尺寸取自保留的模型标注，非重新实测。</x:v>
      </x:c>
      <x:c r="E51" s="2"/>
      <x:c r="F51" s="2"/>
    </x:row>
    <x:row r="52" ht="25" customHeight="1">
      <x:c r="A52" s="8" t="str">
        <x:v>前后外形</x:v>
      </x:c>
      <x:c r="B52" s="13" t="n">
        <x:v>65</x:v>
      </x:c>
      <x:c r="C52" s="8" t="str">
        <x:v>mm</x:v>
      </x:c>
      <x:c r="D52" s="2" t="str">
        <x:v>轮胎宽度28mm沿用作者模型。</x:v>
      </x:c>
      <x:c r="E52" s="2"/>
      <x:c r="F52" s="2"/>
    </x:row>
    <x:row r="53" ht="25" customHeight="1">
      <x:c r="A53" s="2" t="str">
        <x:v>整车高</x:v>
      </x:c>
      <x:c r="B53" s="12" t="n">
        <x:v>112.8000254</x:v>
      </x:c>
      <x:c r="C53" s="2" t="str">
        <x:v>mm</x:v>
      </x:c>
      <x:c r="D53" s="2" t="str">
        <x:v>模型总览图片由FreeCAD原生视图导出。</x:v>
      </x:c>
      <x:c r="E53" s="2"/>
      <x:c r="F53" s="2"/>
    </x:row>
    <x:row r="54" ht="25" customHeight="1">
      <x:c r="A54" s="8" t="str">
        <x:v>车架宽</x:v>
      </x:c>
      <x:c r="B54" s="13" t="n">
        <x:v>96</x:v>
      </x:c>
      <x:c r="C54" s="8" t="str">
        <x:v>mm</x:v>
      </x:c>
      <x:c r="D54" s="2"/>
      <x:c r="E54" s="2"/>
      <x:c r="F54" s="2"/>
    </x:row>
    <x:row r="55" ht="25" customHeight="1">
      <x:c r="A55" s="2" t="str">
        <x:v>车架前后</x:v>
      </x:c>
      <x:c r="B55" s="12" t="n">
        <x:v>56.043</x:v>
      </x:c>
      <x:c r="C55" s="2" t="str">
        <x:v>mm</x:v>
      </x:c>
      <x:c r="D55" s="2"/>
      <x:c r="E55" s="2"/>
      <x:c r="F55" s="2"/>
    </x:row>
    <x:row r="56" ht="25" customHeight="1">
      <x:c r="A56" s="8" t="str">
        <x:v>车架高</x:v>
      </x:c>
      <x:c r="B56" s="13" t="n">
        <x:v>38</x:v>
      </x:c>
      <x:c r="C56" s="8" t="str">
        <x:v>mm</x:v>
      </x:c>
      <x:c r="D56" s="2"/>
      <x:c r="E56" s="2"/>
      <x:c r="F56" s="2"/>
    </x:row>
    <x:row r="57" ht="25" customHeight="1">
      <x:c r="A57" s="2" t="str">
        <x:v>主板宽</x:v>
      </x:c>
      <x:c r="B57" s="12" t="n">
        <x:v>81.9746</x:v>
      </x:c>
      <x:c r="C57" s="2" t="str">
        <x:v>mm</x:v>
      </x:c>
      <x:c r="D57" s="2"/>
      <x:c r="E57" s="2"/>
      <x:c r="F57" s="2"/>
    </x:row>
    <x:row r="58" ht="25" customHeight="1">
      <x:c r="A58" s="8" t="str">
        <x:v>主板前后</x:v>
      </x:c>
      <x:c r="B58" s="13" t="n">
        <x:v>56.0182</x:v>
      </x:c>
      <x:c r="C58" s="8" t="str">
        <x:v>mm</x:v>
      </x:c>
      <x:c r="D58" s="2"/>
      <x:c r="E58" s="2"/>
      <x:c r="F58" s="2"/>
    </x:row>
    <x:row r="59" ht="25" customHeight="1">
      <x:c r="A59" s="2" t="str">
        <x:v>M3孔横距</x:v>
      </x:c>
      <x:c r="B59" s="12" t="n">
        <x:v>75</x:v>
      </x:c>
      <x:c r="C59" s="2" t="str">
        <x:v>mm</x:v>
      </x:c>
      <x:c r="D59" s="2"/>
      <x:c r="E59" s="2"/>
      <x:c r="F59" s="2"/>
    </x:row>
    <x:row r="60" ht="25" customHeight="1">
      <x:c r="A60" s="8" t="str">
        <x:v>M3孔纵距</x:v>
      </x:c>
      <x:c r="B60" s="13" t="n">
        <x:v>46.4</x:v>
      </x:c>
      <x:c r="C60" s="8" t="str">
        <x:v>mm</x:v>
      </x:c>
      <x:c r="D60" s="2"/>
      <x:c r="E60" s="2"/>
      <x:c r="F60" s="2"/>
    </x:row>
    <x:row r="61" ht="25" customHeight="1">
      <x:c r="A61" s="2" t="str">
        <x:v>轮胎外径</x:v>
      </x:c>
      <x:c r="B61" s="12" t="n">
        <x:v>65</x:v>
      </x:c>
      <x:c r="C61" s="2" t="str">
        <x:v>mm</x:v>
      </x:c>
      <x:c r="D61" s="2"/>
      <x:c r="E61" s="2"/>
      <x:c r="F61" s="2"/>
    </x:row>
    <x:row r="62" ht="25" customHeight="1">
      <x:c r="A62" s="8" t="str">
        <x:v>胎宽</x:v>
      </x:c>
      <x:c r="B62" s="13" t="n">
        <x:v>27.999999999999993</x:v>
      </x:c>
      <x:c r="C62" s="8" t="str">
        <x:v>mm</x:v>
      </x:c>
      <x:c r="D62" s="2"/>
      <x:c r="E62" s="2"/>
      <x:c r="F62" s="2"/>
    </x:row>
    <x:row r="63" ht="25" customHeight="1">
      <x:c r="A63" s="2" t="str">
        <x:v>电机主体长</x:v>
      </x:c>
      <x:c r="B63" s="12" t="n">
        <x:v>18</x:v>
      </x:c>
      <x:c r="C63" s="2" t="str">
        <x:v>mm</x:v>
      </x:c>
      <x:c r="D63" s="2"/>
      <x:c r="E63" s="2"/>
      <x:c r="F63" s="2"/>
    </x:row>
    <x:row r="64" ht="25" customHeight="1">
      <x:c r="A64" s="8" t="str">
        <x:v>电机直径</x:v>
      </x:c>
      <x:c r="B64" s="13" t="n">
        <x:v>35</x:v>
      </x:c>
      <x:c r="C64" s="8" t="str">
        <x:v>mm</x:v>
      </x:c>
      <x:c r="D64" s="2"/>
      <x:c r="E64" s="2"/>
      <x:c r="F64" s="2"/>
    </x:row>
    <x:row r="65" ht="25" customHeight="1">
      <x:c r="A65" s="2" t="str">
        <x:v>下支柱</x:v>
      </x:c>
      <x:c r="B65" s="12" t="n">
        <x:v>5</x:v>
      </x:c>
      <x:c r="C65" s="2" t="str">
        <x:v>mm</x:v>
      </x:c>
      <x:c r="D65" s="2"/>
      <x:c r="E65" s="2"/>
      <x:c r="F65" s="2"/>
    </x:row>
    <x:row r="66" ht="25" customHeight="1">
      <x:c r="A66" s="8" t="str">
        <x:v>上支柱</x:v>
      </x:c>
      <x:c r="B66" s="13" t="n">
        <x:v>30.000000000000007</x:v>
      </x:c>
      <x:c r="C66" s="8" t="str">
        <x:v>mm</x:v>
      </x:c>
      <x:c r="D66" s="2"/>
      <x:c r="E66" s="2"/>
      <x:c r="F66" s="2"/>
    </x:row>
    <x:row r="67" ht="25" customHeight="1">
      <x:c r="A67" s="2" t="str">
        <x:v>轮轴离地</x:v>
      </x:c>
      <x:c r="B67" s="12" t="n">
        <x:v>32.5</x:v>
      </x:c>
      <x:c r="C67" s="2" t="str">
        <x:v>mm</x:v>
      </x:c>
      <x:c r="D67" s="2"/>
      <x:c r="E67" s="2"/>
      <x:c r="F67" s="2"/>
    </x:row>
    <x:row r="68" ht="25" customHeight="1">
      <x:c r="A68" s="8" t="str">
        <x:v>电芯主体长</x:v>
      </x:c>
      <x:c r="B68" s="13" t="n">
        <x:v>65</x:v>
      </x:c>
      <x:c r="C68" s="8" t="str">
        <x:v>mm</x:v>
      </x:c>
      <x:c r="D68" s="2"/>
      <x:c r="E68" s="2"/>
      <x:c r="F68" s="2"/>
    </x:row>
    <x:row r="69" ht="25" customHeight="1">
      <x:c r="A69" s="2" t="str">
        <x:v>编码器板长</x:v>
      </x:c>
      <x:c r="B69" s="12" t="n">
        <x:v>26.9746</x:v>
      </x:c>
      <x:c r="C69" s="2" t="str">
        <x:v>mm</x:v>
      </x:c>
      <x:c r="D69" s="2"/>
      <x:c r="E69" s="2"/>
      <x:c r="F69" s="2"/>
    </x:row>
    <x:row r="70" ht="25" customHeight="1">
      <x:c r="A70" s="8" t="str">
        <x:v>板宽</x:v>
      </x:c>
      <x:c r="B70" s="13" t="n">
        <x:v>10.974599999999995</x:v>
      </x:c>
      <x:c r="C70" s="8" t="str">
        <x:v>mm</x:v>
      </x:c>
      <x:c r="D70" s="2"/>
      <x:c r="E70" s="2"/>
      <x:c r="F70" s="2"/>
    </x:row>
    <x:row r="71" ht="25" customHeight="1">
      <x:c r="A71" s="2" t="str">
        <x:v>编码器孔距</x:v>
      </x:c>
      <x:c r="B71" s="12" t="n">
        <x:v>22</x:v>
      </x:c>
      <x:c r="C71" s="2" t="str">
        <x:v>mm</x:v>
      </x:c>
      <x:c r="D71" s="2"/>
      <x:c r="E71" s="2"/>
      <x:c r="F71" s="2"/>
    </x:row>
    <x:row r="72" ht="25" customHeight="1">
      <x:c r="A72" s="2"/>
      <x:c r="B72" s="2"/>
      <x:c r="C72" s="2"/>
      <x:c r="D72" s="2"/>
      <x:c r="E72" s="2"/>
      <x:c r="F72" s="2"/>
    </x:row>
    <x:row r="73" ht="25" customHeight="1">
      <x:c r="A73" s="2"/>
      <x:c r="B73" s="2"/>
      <x:c r="C73" s="2"/>
      <x:c r="D73" s="2"/>
      <x:c r="E73" s="2"/>
      <x:c r="F73" s="2"/>
    </x:row>
    <x:row r="74" ht="25" customHeight="1">
      <x:c r="A74" s="2"/>
      <x:c r="B74" s="2"/>
      <x:c r="C74" s="2"/>
      <x:c r="D74" s="2"/>
      <x:c r="E74" s="2"/>
      <x:c r="F74" s="2"/>
    </x:row>
    <x:row r="75" ht="25" customHeight="1">
      <x:c r="A75" s="2"/>
      <x:c r="B75" s="2"/>
      <x:c r="C75" s="2"/>
      <x:c r="D75" s="2"/>
      <x:c r="E75" s="2"/>
      <x:c r="F75" s="2"/>
    </x:row>
    <x:row r="76" ht="25" customHeight="1">
      <x:c r="A76" s="2"/>
      <x:c r="B76" s="2"/>
      <x:c r="C76" s="2"/>
      <x:c r="D76" s="2"/>
      <x:c r="E76" s="2"/>
      <x:c r="F76" s="2"/>
    </x:row>
    <x:row r="77" ht="25" customHeight="1">
      <x:c r="A77" s="2"/>
      <x:c r="B77" s="2"/>
      <x:c r="C77" s="2"/>
      <x:c r="D77" s="2"/>
      <x:c r="E77" s="2"/>
      <x:c r="F77" s="2"/>
    </x:row>
    <x:row r="78" ht="25" customHeight="1">
      <x:c r="A78" s="2"/>
      <x:c r="B78" s="2"/>
      <x:c r="C78" s="2"/>
      <x:c r="D78" s="2"/>
      <x:c r="E78" s="2"/>
      <x:c r="F78" s="2"/>
    </x:row>
    <x:row r="79" ht="25" customHeight="1">
      <x:c r="A79" s="2"/>
      <x:c r="B79" s="2"/>
      <x:c r="C79" s="2"/>
      <x:c r="D79" s="2"/>
      <x:c r="E79" s="2"/>
      <x:c r="F79" s="2"/>
    </x:row>
    <x:row r="80" ht="25" customHeight="1">
      <x:c r="A80" s="2"/>
      <x:c r="B80" s="2"/>
      <x:c r="C80" s="2"/>
      <x:c r="D80" s="2"/>
      <x:c r="E80" s="2"/>
      <x:c r="F80" s="2"/>
    </x:row>
    <x:row r="81" ht="25" customHeight="1">
      <x:c r="A81" s="2"/>
      <x:c r="B81" s="2"/>
      <x:c r="C81" s="2"/>
      <x:c r="D81" s="2"/>
      <x:c r="E81" s="2"/>
      <x:c r="F81" s="2"/>
    </x:row>
    <x:row r="82" ht="25" customHeight="1">
      <x:c r="A82" s="2"/>
      <x:c r="B82" s="2"/>
      <x:c r="C82" s="2"/>
      <x:c r="D82" s="2"/>
      <x:c r="E82" s="2"/>
      <x:c r="F82" s="2"/>
    </x:row>
    <x:row r="83" ht="25" customHeight="1">
      <x:c r="A83" s="2"/>
      <x:c r="B83" s="2"/>
      <x:c r="C83" s="2"/>
      <x:c r="D83" s="2"/>
      <x:c r="E83" s="2"/>
      <x:c r="F83" s="2"/>
    </x:row>
    <x:row r="84" ht="25" customHeight="1">
      <x:c r="A84" s="2"/>
      <x:c r="B84" s="2"/>
      <x:c r="C84" s="2"/>
      <x:c r="D84" s="2"/>
      <x:c r="E84" s="2"/>
      <x:c r="F84" s="2"/>
    </x:row>
    <x:row r="85" ht="25" customHeight="1">
      <x:c r="A85" s="2"/>
      <x:c r="B85" s="2"/>
      <x:c r="C85" s="2"/>
      <x:c r="D85" s="2"/>
      <x:c r="E85" s="2"/>
      <x:c r="F85" s="2"/>
    </x:row>
    <x:row r="86" ht="25" customHeight="1">
      <x:c r="A86" s="2"/>
      <x:c r="B86" s="2"/>
      <x:c r="C86" s="2"/>
      <x:c r="D86" s="2"/>
      <x:c r="E86" s="2"/>
      <x:c r="F86" s="2"/>
    </x:row>
    <x:row r="87" ht="25" customHeight="1">
      <x:c r="A87" s="2"/>
      <x:c r="B87" s="2"/>
      <x:c r="C87" s="2"/>
      <x:c r="D87" s="2"/>
      <x:c r="E87" s="2"/>
      <x:c r="F87" s="2"/>
    </x:row>
    <x:row r="88" ht="25" customHeight="1">
      <x:c r="A88" s="2"/>
      <x:c r="B88" s="2"/>
      <x:c r="C88" s="2"/>
      <x:c r="D88" s="2"/>
      <x:c r="E88" s="2"/>
      <x:c r="F88" s="2"/>
    </x:row>
    <x:row r="89" ht="25" customHeight="1">
      <x:c r="A89" s="2"/>
      <x:c r="B89" s="2"/>
      <x:c r="C89" s="2"/>
      <x:c r="D89" s="2"/>
      <x:c r="E89" s="2"/>
      <x:c r="F89" s="2"/>
    </x:row>
    <x:row r="90" ht="25" customHeight="1">
      <x:c r="A90" s="2"/>
      <x:c r="B90" s="2"/>
      <x:c r="C90" s="2"/>
      <x:c r="D90" s="2"/>
      <x:c r="E90" s="2"/>
      <x:c r="F90" s="2"/>
    </x:row>
  </x:sheetData>
  <x:pageMargins left="0.7" right="0.7" top="0.75" bottom="0.75" header="0.3" footer="0.3"/>
  <x:drawing xmlns:r="http://schemas.openxmlformats.org/officeDocument/2006/relationships" r:id="Re13b40aac894424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0" hidden="0" customWidth="1"/>
    <x:col min="3" max="3" width="15" hidden="0" customWidth="1"/>
    <x:col min="4" max="4" width="17" hidden="0" customWidth="1"/>
    <x:col min="5" max="5" width="16" hidden="0" customWidth="1"/>
    <x:col min="6" max="6" width="16" hidden="0" customWidth="1"/>
    <x:col min="7" max="7" width="7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实测质量与计重范围</x:v>
      </x:c>
      <x:c r="B2" s="2"/>
      <x:c r="C2" s="2"/>
      <x:c r="D2" s="2"/>
      <x:c r="E2" s="2"/>
      <x:c r="F2" s="2"/>
      <x:c r="G2" s="2"/>
    </x:row>
    <x:row r="3" ht="25" customHeight="1">
      <x:c r="A3" s="4"/>
      <x:c r="B3" s="4"/>
      <x:c r="C3" s="4"/>
      <x:c r="D3" s="4"/>
      <x:c r="E3" s="4"/>
      <x:c r="F3" s="4"/>
      <x:c r="G3" s="2"/>
    </x:row>
    <x:row r="4" ht="25" customHeight="1">
      <x:c r="A4" s="2" t="str">
        <x:v>蓝色数值为用户称重输入；合称值按数量等分。下表只计一次各部件，不重复叠加总成质量。</x:v>
      </x:c>
      <x:c r="B4" s="2"/>
      <x:c r="C4" s="2"/>
      <x:c r="D4" s="2"/>
      <x:c r="E4" s="2"/>
      <x:c r="F4" s="2"/>
      <x:c r="G4" s="2"/>
    </x:row>
    <x:row r="5" ht="30" customHeight="1">
      <x:c r="A5" s="7" t="str">
        <x:v>部件</x:v>
      </x:c>
      <x:c r="B5" s="7" t="str">
        <x:v>数量</x:v>
      </x:c>
      <x:c r="C5" s="7" t="str">
        <x:v>称重值 (g)</x:v>
      </x:c>
      <x:c r="D5" s="7" t="str">
        <x:v>称重口径</x:v>
      </x:c>
      <x:c r="E5" s="7" t="str">
        <x:v>分配单件 (g)</x:v>
      </x:c>
      <x:c r="F5" s="7" t="str">
        <x:v>小计 (g)</x:v>
      </x:c>
      <x:c r="G5" s="7" t="str">
        <x:v>涵盖范围 / 来源</x:v>
      </x:c>
    </x:row>
    <x:row r="6" ht="44" customHeight="1">
      <x:c r="A6" s="2" t="str">
        <x:v>轮毂</x:v>
      </x:c>
      <x:c r="B6" s="2" t="n">
        <x:v>2</x:v>
      </x:c>
      <x:c r="C6" s="16" t="n">
        <x:v>20.3</x:v>
      </x:c>
      <x:c r="D6" s="17" t="str">
        <x:v>单件</x:v>
      </x:c>
      <x:c r="E6" s="17" t="n">
        <x:f>C6</x:f>
        <x:v>20.3</x:v>
      </x:c>
      <x:c r="F6" s="17" t="n">
        <x:f>B6*E6</x:f>
        <x:v>40.6</x:v>
      </x:c>
      <x:c r="G6" s="11" t="str">
        <x:v>轮毂与轮胎分离后称重；替换旧合计41.2g口径</x:v>
      </x:c>
    </x:row>
    <x:row r="7" ht="44" customHeight="1">
      <x:c r="A7" s="8" t="str">
        <x:v>轮胎</x:v>
      </x:c>
      <x:c r="B7" s="8" t="n">
        <x:v>2</x:v>
      </x:c>
      <x:c r="C7" s="18" t="n">
        <x:v>20.3</x:v>
      </x:c>
      <x:c r="D7" s="19" t="str">
        <x:v>单件</x:v>
      </x:c>
      <x:c r="E7" s="19" t="n">
        <x:f>C7</x:f>
        <x:v>20.3</x:v>
      </x:c>
      <x:c r="F7" s="19" t="n">
        <x:f>B7*E7</x:f>
        <x:v>40.6</x:v>
      </x:c>
      <x:c r="G7" s="20" t="str">
        <x:v>用户分称；外径65mm、径向壁厚8.2mm</x:v>
      </x:c>
    </x:row>
    <x:row r="8" ht="44" customHeight="1">
      <x:c r="A8" s="2" t="str">
        <x:v>电机转子</x:v>
      </x:c>
      <x:c r="B8" s="2" t="n">
        <x:v>2</x:v>
      </x:c>
      <x:c r="C8" s="16" t="n">
        <x:v>21.2</x:v>
      </x:c>
      <x:c r="D8" s="17" t="str">
        <x:v>单件</x:v>
      </x:c>
      <x:c r="E8" s="17" t="n">
        <x:f>C8</x:f>
        <x:v>21.2</x:v>
      </x:c>
      <x:c r="F8" s="17" t="n">
        <x:f>B8*E8</x:f>
        <x:v>42.4</x:v>
      </x:c>
      <x:c r="G8" s="11" t="str">
        <x:v>一台电机一分为二实测，应用到两侧；含轴及内壁磁体等</x:v>
      </x:c>
    </x:row>
    <x:row r="9" ht="44" customHeight="1">
      <x:c r="A9" s="8" t="str">
        <x:v>电机定子</x:v>
      </x:c>
      <x:c r="B9" s="8" t="n">
        <x:v>2</x:v>
      </x:c>
      <x:c r="C9" s="18" t="n">
        <x:v>34.2</x:v>
      </x:c>
      <x:c r="D9" s="19" t="str">
        <x:v>单件</x:v>
      </x:c>
      <x:c r="E9" s="19" t="n">
        <x:f>C9</x:f>
        <x:v>34.2</x:v>
      </x:c>
      <x:c r="F9" s="19" t="n">
        <x:f>B9*E9</x:f>
        <x:v>68.4</x:v>
      </x:c>
      <x:c r="G9" s="20" t="str">
        <x:v>同一拆机样本；转定子合计差异按用户说明视作称量误差</x:v>
      </x:c>
    </x:row>
    <x:row r="10" ht="44" customHeight="1">
      <x:c r="A10" s="2" t="str">
        <x:v>电机安装螺钉</x:v>
      </x:c>
      <x:c r="B10" s="2" t="n">
        <x:v>8</x:v>
      </x:c>
      <x:c r="C10" s="16" t="n">
        <x:v>0.6</x:v>
      </x:c>
      <x:c r="D10" s="17" t="str">
        <x:v>单件</x:v>
      </x:c>
      <x:c r="E10" s="17" t="n">
        <x:f>C10</x:f>
        <x:v>0.6</x:v>
      </x:c>
      <x:c r="F10" s="17" t="n">
        <x:f>B10*E10</x:f>
        <x:v>4.8</x:v>
      </x:c>
      <x:c r="G10" s="11" t="str">
        <x:v>每侧4颗，属于车身固定组</x:v>
      </x:c>
    </x:row>
    <x:row r="11" ht="44" customHeight="1">
      <x:c r="A11" s="8" t="str">
        <x:v>轮毂中轴螺钉</x:v>
      </x:c>
      <x:c r="B11" s="8" t="n">
        <x:v>2</x:v>
      </x:c>
      <x:c r="C11" s="18" t="n">
        <x:v>0.3</x:v>
      </x:c>
      <x:c r="D11" s="19" t="str">
        <x:v>单件</x:v>
      </x:c>
      <x:c r="E11" s="19" t="n">
        <x:f>C11</x:f>
        <x:v>0.3</x:v>
      </x:c>
      <x:c r="F11" s="19" t="n">
        <x:f>B11*E11</x:f>
        <x:v>0.6</x:v>
      </x:c>
      <x:c r="G11" s="20" t="str">
        <x:v>每侧1颗，随车轮自转</x:v>
      </x:c>
    </x:row>
    <x:row r="12" ht="44" customHeight="1">
      <x:c r="A12" s="2" t="str">
        <x:v>编码器磁铁</x:v>
      </x:c>
      <x:c r="B12" s="2" t="n">
        <x:v>2</x:v>
      </x:c>
      <x:c r="C12" s="16" t="n">
        <x:v>0.6</x:v>
      </x:c>
      <x:c r="D12" s="17" t="str">
        <x:v>单件</x:v>
      </x:c>
      <x:c r="E12" s="17" t="n">
        <x:f>C12</x:f>
        <x:v>0.6</x:v>
      </x:c>
      <x:c r="F12" s="17" t="n">
        <x:f>B12*E12</x:f>
        <x:v>1.2</x:v>
      </x:c>
      <x:c r="G12" s="11" t="str">
        <x:v>每侧1颗，随转子自转；与电机内壁永磁体不同</x:v>
      </x:c>
    </x:row>
    <x:row r="13" ht="44" customHeight="1">
      <x:c r="A13" s="8" t="str">
        <x:v>车架及连接螺钉</x:v>
      </x:c>
      <x:c r="B13" s="8" t="n">
        <x:v>1</x:v>
      </x:c>
      <x:c r="C13" s="18" t="n">
        <x:v>45.4</x:v>
      </x:c>
      <x:c r="D13" s="19" t="str">
        <x:v>单件</x:v>
      </x:c>
      <x:c r="E13" s="19" t="n">
        <x:f>C13</x:f>
        <x:v>45.4</x:v>
      </x:c>
      <x:c r="F13" s="19" t="n">
        <x:f>B13*E13</x:f>
        <x:v>45.4</x:v>
      </x:c>
      <x:c r="G13" s="20" t="str">
        <x:v>含4颗短铜柱连接螺钉，不含铜柱</x:v>
      </x:c>
    </x:row>
    <x:row r="14" ht="44" customHeight="1">
      <x:c r="A14" s="2" t="str">
        <x:v>主控电路板</x:v>
      </x:c>
      <x:c r="B14" s="2" t="n">
        <x:v>1</x:v>
      </x:c>
      <x:c r="C14" s="16" t="n">
        <x:v>23.7</x:v>
      </x:c>
      <x:c r="D14" s="17" t="str">
        <x:v>单件</x:v>
      </x:c>
      <x:c r="E14" s="17" t="n">
        <x:f>C14</x:f>
        <x:v>23.7</x:v>
      </x:c>
      <x:c r="F14" s="17" t="n">
        <x:f>B14*E14</x:f>
        <x:v>23.7</x:v>
      </x:c>
      <x:c r="G14" s="11" t="str">
        <x:v>整板称重</x:v>
      </x:c>
    </x:row>
    <x:row r="15" ht="44" customHeight="1">
      <x:c r="A15" s="8" t="str">
        <x:v>电池座及PCB、4颗螺钉</x:v>
      </x:c>
      <x:c r="B15" s="8" t="n">
        <x:v>1</x:v>
      </x:c>
      <x:c r="C15" s="18" t="n">
        <x:v>36.9</x:v>
      </x:c>
      <x:c r="D15" s="19" t="str">
        <x:v>单件</x:v>
      </x:c>
      <x:c r="E15" s="19" t="n">
        <x:f>C15</x:f>
        <x:v>36.9</x:v>
      </x:c>
      <x:c r="F15" s="19" t="n">
        <x:f>B15*E15</x:f>
        <x:v>36.9</x:v>
      </x:c>
      <x:c r="G15" s="20" t="str">
        <x:v>电池座组合称重，不包含电芯</x:v>
      </x:c>
    </x:row>
    <x:row r="16" ht="44" customHeight="1">
      <x:c r="A16" s="2" t="str">
        <x:v>塑料长柱</x:v>
      </x:c>
      <x:c r="B16" s="2" t="n">
        <x:v>4</x:v>
      </x:c>
      <x:c r="C16" s="16" t="n">
        <x:v>3</x:v>
      </x:c>
      <x:c r="D16" s="17" t="str">
        <x:v>合称</x:v>
      </x:c>
      <x:c r="E16" s="17" t="n">
        <x:f>C16/B16</x:f>
        <x:v>0.75</x:v>
      </x:c>
      <x:c r="F16" s="17" t="n">
        <x:f>B16*E16</x:f>
        <x:v>3</x:v>
      </x:c>
      <x:c r="G16" s="11" t="str">
        <x:v>4根合计3g，按每根0.75g分配</x:v>
      </x:c>
    </x:row>
    <x:row r="17" ht="44" customHeight="1">
      <x:c r="A17" s="8" t="str">
        <x:v>短铜柱</x:v>
      </x:c>
      <x:c r="B17" s="8" t="n">
        <x:v>4</x:v>
      </x:c>
      <x:c r="C17" s="18" t="n">
        <x:v>3.7</x:v>
      </x:c>
      <x:c r="D17" s="19" t="str">
        <x:v>合称</x:v>
      </x:c>
      <x:c r="E17" s="19" t="n">
        <x:f>C17/B17</x:f>
        <x:v>0.925</x:v>
      </x:c>
      <x:c r="F17" s="19" t="n">
        <x:f>B17*E17</x:f>
        <x:v>3.7</x:v>
      </x:c>
      <x:c r="G17" s="20" t="str">
        <x:v>4个合计3.7g，按每个0.925g分配</x:v>
      </x:c>
    </x:row>
    <x:row r="18" ht="44" customHeight="1">
      <x:c r="A18" s="2" t="str">
        <x:v>编码器</x:v>
      </x:c>
      <x:c r="B18" s="2" t="n">
        <x:v>2</x:v>
      </x:c>
      <x:c r="C18" s="16" t="n">
        <x:v>1</x:v>
      </x:c>
      <x:c r="D18" s="17" t="str">
        <x:v>单件</x:v>
      </x:c>
      <x:c r="E18" s="17" t="n">
        <x:f>C18</x:f>
        <x:v>1</x:v>
      </x:c>
      <x:c r="F18" s="17" t="n">
        <x:f>B18*E18</x:f>
        <x:v>2</x:v>
      </x:c>
      <x:c r="G18" s="11" t="str">
        <x:v>沿用1g/个；安装螺钉是否包含沿用此前口径</x:v>
      </x:c>
    </x:row>
    <x:row r="19" ht="44" customHeight="1">
      <x:c r="A19" s="8" t="str">
        <x:v>18650电芯</x:v>
      </x:c>
      <x:c r="B19" s="8" t="n">
        <x:v>2</x:v>
      </x:c>
      <x:c r="C19" s="18" t="n">
        <x:v>44.6</x:v>
      </x:c>
      <x:c r="D19" s="19" t="str">
        <x:v>单件</x:v>
      </x:c>
      <x:c r="E19" s="19" t="n">
        <x:f>C19</x:f>
        <x:v>44.6</x:v>
      </x:c>
      <x:c r="F19" s="19" t="n">
        <x:f>B19*E19</x:f>
        <x:v>89.2</x:v>
      </x:c>
      <x:c r="G19" s="20" t="str">
        <x:v>用户明确单节44.6g，两节合计89.2g</x:v>
      </x:c>
    </x:row>
    <x:row r="20" ht="25" customHeight="1">
      <x:c r="A20" s="23" t="str">
        <x:v>整车总质量</x:v>
      </x:c>
      <x:c r="B20" s="23"/>
      <x:c r="C20" s="24"/>
      <x:c r="D20" s="24"/>
      <x:c r="E20" s="24"/>
      <x:c r="F20" s="24" t="n">
        <x:f>SUM(F6:F19)</x:f>
        <x:v>402.49999999999994</x:v>
      </x:c>
      <x:c r="G20" s="23"/>
    </x:row>
    <x:row r="21" ht="25" customHeight="1">
      <x:c r="A21" s="2"/>
      <x:c r="B21" s="2"/>
      <x:c r="C21" s="17"/>
      <x:c r="D21" s="17"/>
      <x:c r="E21" s="17"/>
      <x:c r="F21" s="17"/>
      <x:c r="G21" s="2"/>
    </x:row>
    <x:row r="22" ht="25" customHeight="1">
      <x:c r="A22" s="2"/>
      <x:c r="B22" s="2"/>
      <x:c r="C22" s="17"/>
      <x:c r="D22" s="17"/>
      <x:c r="E22" s="17"/>
      <x:c r="F22" s="17"/>
      <x:c r="G22" s="2"/>
    </x:row>
    <x:row r="23" ht="25" customHeight="1">
      <x:c r="A23" s="2" t="str">
        <x:v>单侧旋转组质量</x:v>
      </x:c>
      <x:c r="B23" s="2"/>
      <x:c r="C23" s="17"/>
      <x:c r="D23" s="17"/>
      <x:c r="E23" s="17"/>
      <x:c r="F23" s="17" t="n">
        <x:f>SUM(E6:E8,E11:E12)</x:f>
        <x:v>62.699999999999996</x:v>
      </x:c>
      <x:c r="G23" s="2" t="str">
        <x:v>轮毂＋轮胎＋转子＋轮毂螺钉＋编码器磁铁</x:v>
      </x:c>
    </x:row>
    <x:row r="24" ht="25" customHeight="1">
      <x:c r="A24" s="2" t="str">
        <x:v>车身固定组质量</x:v>
      </x:c>
      <x:c r="B24" s="2"/>
      <x:c r="C24" s="17"/>
      <x:c r="D24" s="17"/>
      <x:c r="E24" s="17"/>
      <x:c r="F24" s="17" t="n">
        <x:f>F20-2*F23</x:f>
        <x:v>277.09999999999997</x:v>
      </x:c>
      <x:c r="G24" s="2" t="str">
        <x:v>整车扣除两侧旋转组；包括定子及电机安装螺钉</x:v>
      </x:c>
    </x:row>
    <x:row r="25" ht="25" customHeight="1">
      <x:c r="A25" s="2"/>
      <x:c r="B25" s="2"/>
      <x:c r="C25" s="2"/>
      <x:c r="D25" s="2"/>
      <x:c r="E25" s="2"/>
      <x:c r="F25" s="2"/>
      <x:c r="G25" s="2"/>
    </x:row>
    <x:row r="26" ht="25" customHeight="1">
      <x:c r="A26" s="2"/>
      <x:c r="B26" s="2"/>
      <x:c r="C26" s="2"/>
      <x:c r="D26" s="2"/>
      <x:c r="E26" s="2"/>
      <x:c r="F26" s="2"/>
      <x:c r="G26" s="2"/>
    </x:row>
    <x:row r="27" ht="25" customHeight="1">
      <x:c r="A27" s="2" t="str">
        <x:v>来源：用户本次对话中的实物称重。没有单独称重的护件未另加质量，模型几何不代表全部附件已独立计重。</x:v>
      </x:c>
      <x:c r="B27" s="2"/>
      <x:c r="C27" s="2"/>
      <x:c r="D27" s="2"/>
      <x:c r="E27" s="2"/>
      <x:c r="F27" s="2"/>
      <x:c r="G27" s="2"/>
    </x:row>
    <x:row r="28" ht="25" customHeight="1">
      <x:c r="A28" s="2"/>
      <x:c r="B28" s="2"/>
      <x:c r="C28" s="2"/>
      <x:c r="D28" s="2"/>
      <x:c r="E28" s="2"/>
      <x:c r="F28" s="2"/>
      <x:c r="G28" s="2"/>
    </x:row>
    <x:row r="29" ht="25" customHeight="1">
      <x:c r="A29" s="2"/>
      <x:c r="B29" s="2"/>
      <x:c r="C29" s="2"/>
      <x:c r="D29" s="2"/>
      <x:c r="E29" s="2"/>
      <x:c r="F29" s="2"/>
      <x:c r="G2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6" hidden="0" customWidth="1"/>
    <x:col min="2" max="2" width="20" hidden="0" customWidth="1"/>
    <x:col min="3" max="3" width="15" hidden="0" customWidth="1"/>
    <x:col min="4" max="4" width="47" hidden="0" customWidth="1"/>
    <x:col min="5" max="5" width="54" hidden="0" customWidth="1"/>
    <x:col min="6" max="6" width="8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机械参数与轴线定义</x:v>
      </x:c>
      <x:c r="B2" s="2"/>
      <x:c r="C2" s="2"/>
      <x:c r="D2" s="2"/>
      <x:c r="E2" s="2"/>
      <x:c r="F2" s="2"/>
    </x:row>
    <x:row r="3" ht="25" customHeight="1">
      <x:c r="A3" s="4"/>
      <x:c r="B3" s="4"/>
      <x:c r="C3" s="4"/>
      <x:c r="D3" s="4"/>
      <x:c r="E3" s="4"/>
      <x:c r="F3" s="4"/>
    </x:row>
    <x:row r="4" ht="25" customHeight="1">
      <x:c r="A4" s="2" t="str">
        <x:v>直立姿态；CAD坐标X沿轮轴、Y向前、Z向上。惯量采用实测质量与FreeCAD几何分布估算。</x:v>
      </x:c>
      <x:c r="B4" s="2"/>
      <x:c r="C4" s="2"/>
      <x:c r="D4" s="2"/>
      <x:c r="E4" s="2"/>
      <x:c r="F4" s="2"/>
    </x:row>
    <x:row r="5" ht="30" customHeight="1">
      <x:c r="A5" s="7" t="str">
        <x:v>参数</x:v>
      </x:c>
      <x:c r="B5" s="7" t="str">
        <x:v>数值</x:v>
      </x:c>
      <x:c r="C5" s="7" t="str">
        <x:v>单位</x:v>
      </x:c>
      <x:c r="D5" s="7" t="str">
        <x:v>适用范围 / 轴线</x:v>
      </x:c>
      <x:c r="E5" s="7" t="str">
        <x:v>依据 / 使用说明</x:v>
      </x:c>
      <x:c r="F5" s="2"/>
    </x:row>
    <x:row r="6" ht="44" customHeight="1">
      <x:c r="A6" s="2" t="str">
        <x:v>轮胎滚动半径 r</x:v>
      </x:c>
      <x:c r="B6" s="25" t="n">
        <x:v>0.0325</x:v>
      </x:c>
      <x:c r="C6" s="2" t="str">
        <x:v>m</x:v>
      </x:c>
      <x:c r="D6" s="11" t="str">
        <x:v>未计承载变形</x:v>
      </x:c>
      <x:c r="E6" s="11" t="str">
        <x:v>外径65mm / 2</x:v>
      </x:c>
      <x:c r="F6" s="2"/>
    </x:row>
    <x:row r="7" ht="44" customHeight="1">
      <x:c r="A7" s="8" t="str">
        <x:v>轮胎接触中面轮距 b</x:v>
      </x:c>
      <x:c r="B7" s="26" t="n">
        <x:v>0.1325364</x:v>
      </x:c>
      <x:c r="C7" s="8" t="str">
        <x:v>m</x:v>
      </x:c>
      <x:c r="D7" s="20" t="str">
        <x:v>左右接触中面</x:v>
      </x:c>
      <x:c r="E7" s="20" t="str">
        <x:v>用于理想差速纯滚动关系</x:v>
      </x:c>
      <x:c r="F7" s="2"/>
    </x:row>
    <x:row r="8" ht="44" customHeight="1">
      <x:c r="A8" s="2" t="str">
        <x:v>车身质量 M</x:v>
      </x:c>
      <x:c r="B8" s="25" t="n">
        <x:f>'实测质量'!F24/1000</x:f>
        <x:v>0.27709999999999996</x:v>
      </x:c>
      <x:c r="C8" s="2" t="str">
        <x:v>kg</x:v>
      </x:c>
      <x:c r="D8" s="11" t="str">
        <x:v>不包含左右旋转组</x:v>
      </x:c>
      <x:c r="E8" s="11" t="str">
        <x:v>链接实测质量表</x:v>
      </x:c>
      <x:c r="F8" s="2"/>
    </x:row>
    <x:row r="9" ht="44" customHeight="1">
      <x:c r="A9" s="8" t="str">
        <x:v>单侧旋转组质量 m</x:v>
      </x:c>
      <x:c r="B9" s="26" t="n">
        <x:f>'实测质量'!F23/1000</x:f>
        <x:v>0.06269999999999999</x:v>
      </x:c>
      <x:c r="C9" s="8" t="str">
        <x:v>kg</x:v>
      </x:c>
      <x:c r="D9" s="20" t="str">
        <x:v>单侧随车轮自转部件</x:v>
      </x:c>
      <x:c r="E9" s="20" t="str">
        <x:v>链接实测质量表</x:v>
      </x:c>
      <x:c r="F9" s="2"/>
    </x:row>
    <x:row r="10" ht="44" customHeight="1">
      <x:c r="A10" s="2" t="str">
        <x:v>整车总质量</x:v>
      </x:c>
      <x:c r="B10" s="25" t="n">
        <x:f>'实测质量'!F20/1000</x:f>
        <x:v>0.40249999999999997</x:v>
      </x:c>
      <x:c r="C10" s="2" t="str">
        <x:v>kg</x:v>
      </x:c>
      <x:c r="D10" s="11" t="str">
        <x:v>车身＋两侧旋转组</x:v>
      </x:c>
      <x:c r="E10" s="11" t="str">
        <x:v>链接实测质量表</x:v>
      </x:c>
      <x:c r="F10" s="2"/>
    </x:row>
    <x:row r="11" ht="44" customHeight="1">
      <x:c r="A11" s="8" t="str">
        <x:v>车身重心高于轮轴 h</x:v>
      </x:c>
      <x:c r="B11" s="26" t="n">
        <x:v>0.03652922742030107</x:v>
      </x:c>
      <x:c r="C11" s="8" t="str">
        <x:v>m</x:v>
      </x:c>
      <x:c r="D11" s="20" t="str">
        <x:v>车身重心，不是整车重心</x:v>
      </x:c>
      <x:c r="E11" s="20" t="str">
        <x:v>几何分布估算</x:v>
      </x:c>
      <x:c r="F11" s="2"/>
    </x:row>
    <x:row r="12" ht="44" customHeight="1">
      <x:c r="A12" s="2" t="str">
        <x:v>车身重心到轮轴线垂距 l</x:v>
      </x:c>
      <x:c r="B12" s="25" t="n">
        <x:v>0.03652927210923442</x:v>
      </x:c>
      <x:c r="C12" s="2" t="str">
        <x:v>m</x:v>
      </x:c>
      <x:c r="D12" s="11" t="str">
        <x:v>包含微小前后偏置</x:v>
      </x:c>
      <x:c r="E12" s="11" t="str">
        <x:v>用于俯仰平行轴换算</x:v>
      </x:c>
      <x:c r="F12" s="2"/>
    </x:row>
    <x:row r="13" ht="44" customHeight="1">
      <x:c r="A13" s="8" t="str">
        <x:v>车身俯仰惯量 I_C</x:v>
      </x:c>
      <x:c r="B13" s="27" t="n">
        <x:v>0.00031184766836104503</x:v>
      </x:c>
      <x:c r="C13" s="8" t="str">
        <x:v>kg·m²</x:v>
      </x:c>
      <x:c r="D13" s="20" t="str">
        <x:v>过车身重心、平行轮轴的X轴</x:v>
      </x:c>
      <x:c r="E13" s="20" t="str">
        <x:v>只计车身277.1g</x:v>
      </x:c>
      <x:c r="F13" s="2"/>
    </x:row>
    <x:row r="14" ht="44" customHeight="1">
      <x:c r="A14" s="2" t="str">
        <x:v>车身俯仰惯量 I_A</x:v>
      </x:c>
      <x:c r="B14" s="28" t="n">
        <x:f>B13+B8*B12^2</x:f>
        <x:v>0.0006816065058031743</x:v>
      </x:c>
      <x:c r="C14" s="2" t="str">
        <x:v>kg·m²</x:v>
      </x:c>
      <x:c r="D14" s="11" t="str">
        <x:v>实际左右轮轴X</x:v>
      </x:c>
      <x:c r="E14" s="11" t="str">
        <x:v>I_C＋M·l²；勿重复加平行轴项</x:v>
      </x:c>
      <x:c r="F14" s="2"/>
    </x:row>
    <x:row r="15" ht="44" customHeight="1">
      <x:c r="A15" s="8" t="str">
        <x:v>单侧旋转组自转惯量 J</x:v>
      </x:c>
      <x:c r="B15" s="27" t="n">
        <x:v>0.00002996788998409844</x:v>
      </x:c>
      <x:c r="C15" s="8" t="str">
        <x:v>kg·m²</x:v>
      </x:c>
      <x:c r="D15" s="20" t="str">
        <x:v>该侧轮轴X</x:v>
      </x:c>
      <x:c r="E15" s="20" t="str">
        <x:v>左右各一份；非整车偏航惯量</x:v>
      </x:c>
      <x:c r="F15" s="2"/>
    </x:row>
    <x:row r="16" ht="44" customHeight="1">
      <x:c r="A16" s="2" t="str">
        <x:v>整车重心 X</x:v>
      </x:c>
      <x:c r="B16" s="28" t="n">
        <x:v>0.00003119677368730979</x:v>
      </x:c>
      <x:c r="C16" s="2" t="str">
        <x:v>m</x:v>
      </x:c>
      <x:c r="D16" s="11" t="str">
        <x:v>CAD X</x:v>
      </x:c>
      <x:c r="E16" s="11" t="str">
        <x:v>相对于轮轴中点X=0</x:v>
      </x:c>
      <x:c r="F16" s="2"/>
    </x:row>
    <x:row r="17" ht="44" customHeight="1">
      <x:c r="A17" s="8" t="str">
        <x:v>整车重心 Y</x:v>
      </x:c>
      <x:c r="B17" s="27" t="n">
        <x:v>-0.00003933743241463853</x:v>
      </x:c>
      <x:c r="C17" s="8" t="str">
        <x:v>m</x:v>
      </x:c>
      <x:c r="D17" s="20" t="str">
        <x:v>CAD Y</x:v>
      </x:c>
      <x:c r="E17" s="20" t="str">
        <x:v>相对于轮轴中点Y=0</x:v>
      </x:c>
      <x:c r="F17" s="2"/>
    </x:row>
    <x:row r="18" ht="44" customHeight="1">
      <x:c r="A18" s="2" t="str">
        <x:v>整车重心离地 Z</x:v>
      </x:c>
      <x:c r="B18" s="28" t="n">
        <x:v>0.05764844284221802</x:v>
      </x:c>
      <x:c r="C18" s="2" t="str">
        <x:v>m</x:v>
      </x:c>
      <x:c r="D18" s="11" t="str">
        <x:v>CAD地面Z=0</x:v>
      </x:c>
      <x:c r="E18" s="11" t="str">
        <x:v>仿真坐标需减去轮轴高度</x:v>
      </x:c>
      <x:c r="F18" s="2"/>
    </x:row>
    <x:row r="19" ht="44" customHeight="1">
      <x:c r="A19" s="8" t="str">
        <x:v>整车偏航惯量 I_z,C</x:v>
      </x:c>
      <x:c r="B19" s="27" t="n">
        <x:v>0.0009545634717723205</x:v>
      </x:c>
      <x:c r="C19" s="8" t="str">
        <x:v>kg·m²</x:v>
      </x:c>
      <x:c r="D19" s="20" t="str">
        <x:v>过整车重心的竖直Z轴</x:v>
      </x:c>
      <x:c r="E19" s="20" t="str">
        <x:v>全部部件随整车转动，未附加轮组滚动</x:v>
      </x:c>
      <x:c r="F19" s="2"/>
    </x:row>
    <x:row r="20" ht="44" customHeight="1">
      <x:c r="A20" s="2" t="str">
        <x:v>整车偏航惯量 I_z,O</x:v>
      </x:c>
      <x:c r="B20" s="28" t="n">
        <x:f>B19+B10*(B16^2+B17^2)</x:f>
        <x:v>0.0009545644863429122</x:v>
      </x:c>
      <x:c r="C20" s="2" t="str">
        <x:v>kg·m²</x:v>
      </x:c>
      <x:c r="D20" s="11" t="str">
        <x:v>过轮轴中点O的竖直轴</x:v>
      </x:c>
      <x:c r="E20" s="11" t="str">
        <x:v>I_z,C＋整车质量·(X²＋Y²)</x:v>
      </x:c>
      <x:c r="F20" s="2"/>
    </x:row>
    <x:row r="21" ht="44" customHeight="1">
      <x:c r="A21" s="8" t="str">
        <x:v>轮组滚动附加等效偏航惯量</x:v>
      </x:c>
      <x:c r="B21" s="27" t="n">
        <x:f>B7^2/(4*B6^2)*(2*B15)</x:f>
        <x:v>0.00024918952828703925</x:v>
      </x:c>
      <x:c r="C21" s="8" t="str">
        <x:v>kg·m²</x:v>
      </x:c>
      <x:c r="D21" s="20" t="str">
        <x:v>折算到原地偏航角速度</x:v>
      </x:c>
      <x:c r="E21" s="20" t="str">
        <x:v>b²/(4r²)·(J左＋J右)</x:v>
      </x:c>
      <x:c r="F21" s="2"/>
    </x:row>
    <x:row r="22" ht="44" customHeight="1">
      <x:c r="A22" s="23" t="str">
        <x:v>原地差速转向总等效偏航惯量</x:v>
      </x:c>
      <x:c r="B22" s="31" t="n">
        <x:f>SUM(B20:B21)</x:f>
        <x:v>0.0012037540146299514</x:v>
      </x:c>
      <x:c r="C22" s="23" t="str">
        <x:v>kg·m²</x:v>
      </x:c>
      <x:c r="D22" s="32" t="str">
        <x:v>直立、纯滚动、绕O原地转向</x:v>
      </x:c>
      <x:c r="E22" s="32" t="str">
        <x:v>I_z,O＋轮组滚动附加项；显式建模两轮自转时勿重复叠加</x:v>
      </x:c>
      <x:c r="F22" s="2"/>
    </x:row>
    <x:row r="23" ht="25" customHeight="1">
      <x:c r="A23" s="2"/>
      <x:c r="B23" s="2"/>
      <x:c r="C23" s="2"/>
      <x:c r="D23" s="2"/>
      <x:c r="E23" s="2"/>
      <x:c r="F23" s="2"/>
    </x:row>
    <x:row r="24" ht="25" customHeight="1">
      <x:c r="A24" s="2"/>
      <x:c r="B24" s="2"/>
      <x:c r="C24" s="2"/>
      <x:c r="D24" s="2"/>
      <x:c r="E24" s="2"/>
      <x:c r="F24" s="2"/>
    </x:row>
    <x:row r="25" ht="25" customHeight="1">
      <x:c r="A25" s="2" t="str">
        <x:v>适用边界</x:v>
      </x:c>
      <x:c r="B25" s="2"/>
      <x:c r="C25" s="2"/>
      <x:c r="D25" s="2"/>
      <x:c r="E25" s="2"/>
      <x:c r="F25" s="2"/>
    </x:row>
    <x:row r="26" ht="25" customHeight="1">
      <x:c r="A26" s="2" t="str">
        <x:v>轮组惯性积耦合、轮胎接地变形、摩擦阻力、驱动损耗未包含在等效偏航参数中。</x:v>
      </x:c>
      <x:c r="B26" s="2"/>
      <x:c r="C26" s="2"/>
      <x:c r="D26" s="2"/>
      <x:c r="E26" s="2"/>
      <x:c r="F26" s="2"/>
    </x:row>
    <x:row r="27" ht="25" customHeight="1">
      <x:c r="A27" s="2" t="str">
        <x:v>转子、定子、PCB等组合内部采用等效几何分配；这些数值尚未通过摆振等实物惯量辨识验证。</x:v>
      </x:c>
      <x:c r="B27" s="2"/>
      <x:c r="C27" s="2"/>
      <x:c r="D27" s="2"/>
      <x:c r="E27" s="2"/>
      <x:c r="F27" s="2"/>
    </x:row>
    <x:row r="28" ht="25" customHeight="1">
      <x:c r="A28" s="2" t="str">
        <x:v>本表质量与等效惯量公式可重算；修改尺寸/质量分布后，CAD质心和基础惯量需重新计算，不能仅改Excel。</x:v>
      </x:c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2"/>
      <x:c r="B31" s="2"/>
      <x:c r="C31" s="2"/>
      <x:c r="D31" s="2"/>
      <x:c r="E31" s="2"/>
      <x:c r="F31" s="2"/>
    </x:row>
    <x:row r="32" ht="25" customHeight="1">
      <x:c r="A32" s="2"/>
      <x:c r="B32" s="2"/>
      <x:c r="C32" s="2"/>
      <x:c r="D32" s="2"/>
      <x:c r="E32" s="2"/>
      <x:c r="F32" s="2"/>
    </x:row>
    <x:row r="33" ht="25" customHeight="1">
      <x:c r="A33" s="2"/>
      <x:c r="B33" s="2"/>
      <x:c r="C33" s="2"/>
      <x:c r="D33" s="2"/>
      <x:c r="E33" s="2"/>
      <x:c r="F33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56" hidden="0" customWidth="1"/>
    <x:col min="3" max="3" width="45" hidden="0" customWidth="1"/>
    <x:col min="4" max="4" width="30" hidden="0" customWidth="1"/>
    <x:col min="5" max="5" width="42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文件用途与建模假设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  <x:c r="F3" s="33"/>
    </x:row>
    <x:row r="4" ht="25" customHeight="1">
      <x:c r="A4" s="2"/>
      <x:c r="B4" s="2"/>
      <x:c r="C4" s="2"/>
      <x:c r="D4" s="2"/>
      <x:c r="E4" s="2"/>
    </x:row>
    <x:row r="5" ht="30" customHeight="1">
      <x:c r="A5" s="7" t="str">
        <x:v>用途</x:v>
      </x:c>
      <x:c r="B5" s="7" t="str">
        <x:v>入口 / 路径</x:v>
      </x:c>
      <x:c r="C5" s="7" t="str">
        <x:v>内容</x:v>
      </x:c>
      <x:c r="D5" s="7" t="str">
        <x:v>单位 / 验证范围</x:v>
      </x:c>
      <x:c r="E5" s="2"/>
    </x:row>
    <x:row r="6" ht="58" customHeight="1">
      <x:c r="A6" s="2" t="str">
        <x:v>FreeCAD继续编辑</x:v>
      </x:c>
      <x:c r="B6" s="11" t="str">
        <x:v>freeCAD工程/平衡车_最终.FCStd</x:v>
      </x:c>
      <x:c r="C6" s="11" t="str">
        <x:v>23个可见部件；保留运动关系、尺寸标注、质量与机械参数</x:v>
      </x:c>
      <x:c r="D6" s="11" t="str">
        <x:v>CAD几何为mm</x:v>
      </x:c>
      <x:c r="E6" s="2"/>
    </x:row>
    <x:row r="7" ht="58" customHeight="1">
      <x:c r="A7" s="8" t="str">
        <x:v>其他CAD软件</x:v>
      </x:c>
      <x:c r="B7" s="20" t="str">
        <x:v>导出的模型/STEP_mm/balance_car_assembly.step</x:v>
      </x:c>
      <x:c r="C7" s="20" t="str">
        <x:v>保留可选择部件及实体/曲面</x:v>
      </x:c>
      <x:c r="D7" s="20" t="str">
        <x:v>mm；STL来源保留三角面</x:v>
      </x:c>
      <x:c r="E7" s="2"/>
    </x:row>
    <x:row r="8" ht="58" customHeight="1">
      <x:c r="A8" s="2" t="str">
        <x:v>网格通用交换</x:v>
      </x:c>
      <x:c r="B8" s="11" t="str">
        <x:v>导出的模型/STL_mm/</x:v>
      </x:c>
      <x:c r="C8" s="11" t="str">
        <x:v>整车及车身/左右轮组三份</x:v>
      </x:c>
      <x:c r="D8" s="11" t="str">
        <x:v>mm；不自带质量/关节</x:v>
      </x:c>
      <x:c r="E8" s="2"/>
    </x:row>
    <x:row r="9" ht="58" customHeight="1">
      <x:c r="A9" s="8" t="str">
        <x:v>带颜色网格</x:v>
      </x:c>
      <x:c r="B9" s="20" t="str">
        <x:v>导出的模型/OBJ_mm/balance_car_assembly.obj</x:v>
      </x:c>
      <x:c r="C9" s="20" t="str">
        <x:v>OBJ＋MTL，按部件颜色</x:v>
      </x:c>
      <x:c r="D9" s="20" t="str">
        <x:v>mm；与MTL一起复制</x:v>
      </x:c>
      <x:c r="E9" s="2"/>
    </x:row>
    <x:row r="10" ht="58" customHeight="1">
      <x:c r="A10" s="2" t="str">
        <x:v>通用机器人描述</x:v>
      </x:c>
      <x:c r="B10" s="11" t="str">
        <x:v>仿真模型/通用URDF/urdf/balance_car.urdf</x:v>
      </x:c>
      <x:c r="C10" s="11" t="str">
        <x:v>3刚体、2轮轴关节、质心、完整惯量、简化碰撞</x:v>
      </x:c>
      <x:c r="D10" s="11" t="str">
        <x:v>m / kg / s</x:v>
      </x:c>
      <x:c r="E10" s="2"/>
    </x:row>
    <x:row r="11" ht="58" customHeight="1">
      <x:c r="A11" s="8" t="str">
        <x:v>MATLAB</x:v>
      </x:c>
      <x:c r="B11" s="20" t="str">
        <x:v>仿真模型/MATLAB/打开模型.m</x:v>
      </x:c>
      <x:c r="C11" s="20" t="str">
        <x:v>importrobot预览；提供smimport入口注释</x:v>
      </x:c>
      <x:c r="D11" s="20" t="str">
        <x:v>本机URDF导入通过；未装Multibody</x:v>
      </x:c>
      <x:c r="E11" s="2"/>
    </x:row>
    <x:row r="12" ht="58" customHeight="1">
      <x:c r="A12" s="2" t="str">
        <x:v>ROS2</x:v>
      </x:c>
      <x:c r="B12" s="11" t="str">
        <x:v>仿真模型/ROS2/balance_car_description/</x:v>
      </x:c>
      <x:c r="C12" s="11" t="str">
        <x:v>ament描述包与RViz显示启动文件</x:v>
      </x:c>
      <x:c r="D12" s="11" t="str">
        <x:v>需ROS2环境及依赖</x:v>
      </x:c>
      <x:c r="E12" s="2"/>
    </x:row>
    <x:row r="13" ht="58" customHeight="1">
      <x:c r="A13" s="8" t="str">
        <x:v>Gazebo</x:v>
      </x:c>
      <x:c r="B13" s="20" t="str">
        <x:v>仿真模型/Gazebo_SDF/model.sdf</x:v>
      </x:c>
      <x:c r="C13" s="20" t="str">
        <x:v>3刚体模型；无版本绑定的驱动插件</x:v>
      </x:c>
      <x:c r="D13" s="20" t="str">
        <x:v>需配置控制器与接触参数</x:v>
      </x:c>
      <x:c r="E13" s="2"/>
    </x:row>
    <x:row r="14" ht="58" customHeight="1">
      <x:c r="A14" s="2" t="str">
        <x:v>MuJoCo / 训练</x:v>
      </x:c>
      <x:c r="B14" s="11" t="str">
        <x:v>仿真模型/MuJoCo/balance_car.xml</x:v>
      </x:c>
      <x:c r="C14" s="11" t="str">
        <x:v>浮动基座、两轮关节、直接转矩输入与地面</x:v>
      </x:c>
      <x:c r="D14" s="11" t="str">
        <x:v>已编译并执行1000步；无控制器</x:v>
      </x:c>
      <x:c r="E14" s="2"/>
    </x:row>
    <x:row r="15" ht="58" customHeight="1">
      <x:c r="A15" s="8" t="str">
        <x:v>参数与图示</x:v>
      </x:c>
      <x:c r="B15" s="20" t="str">
        <x:v>参数与图片/</x:v>
      </x:c>
      <x:c r="C15" s="20" t="str">
        <x:v>完整参数JSON、坐标转换、原生视图图片</x:v>
      </x:c>
      <x:c r="D15" s="20" t="str">
        <x:v>几何分布估算</x:v>
      </x:c>
      <x:c r="E15" s="2"/>
    </x:row>
    <x:row r="16" ht="58" customHeight="1">
      <x:c r="A16" s="2" t="str">
        <x:v>细节溯源</x:v>
      </x:c>
      <x:c r="B16" s="11" t="str">
        <x:v>源数据与依据/整理前_R6.FCStd</x:v>
      </x:c>
      <x:c r="C16" s="11" t="str">
        <x:v>保留整理前完整元件/历史计重口径</x:v>
      </x:c>
      <x:c r="D16" s="11" t="str">
        <x:v>原始工程未改动</x:v>
      </x:c>
      <x:c r="E16" s="2"/>
    </x:row>
    <x:row r="17" ht="25" customHeight="1">
      <x:c r="A17" s="2"/>
      <x:c r="B17" s="2"/>
      <x:c r="C17" s="2"/>
      <x:c r="D17" s="2"/>
      <x:c r="E17" s="2"/>
    </x:row>
    <x:row r="18" ht="25" customHeight="1">
      <x:c r="A18" s="2"/>
      <x:c r="B18" s="2"/>
      <x:c r="C18" s="2"/>
      <x:c r="D18" s="2"/>
      <x:c r="E18" s="2"/>
    </x:row>
    <x:row r="19" ht="25" customHeight="1">
      <x:c r="A19" s="2" t="str">
        <x:v>主要假设与待标定项</x:v>
      </x:c>
      <x:c r="B19" s="2"/>
      <x:c r="C19" s="2"/>
      <x:c r="D19" s="2"/>
      <x:c r="E19" s="2"/>
    </x:row>
    <x:row r="20" ht="48" customHeight="1">
      <x:c r="A20" s="2" t="str">
        <x:v>轮胎截面</x:v>
      </x:c>
      <x:c r="B20" s="11" t="str">
        <x:v>惯量用65mm外径、8.2mm径向壁厚等效环；装配外形保留。</x:v>
      </x:c>
      <x:c r="C20" s="11"/>
      <x:c r="D20" s="11"/>
      <x:c r="E20" s="2"/>
    </x:row>
    <x:row r="21" ht="48" customHeight="1">
      <x:c r="A21" s="8" t="str">
        <x:v>电机内部</x:v>
      </x:c>
      <x:c r="B21" s="20" t="str">
        <x:v>内壁永磁体等未单独精细建模，质量并入转子；两侧用同一拆机样本。</x:v>
      </x:c>
      <x:c r="C21" s="11"/>
      <x:c r="D21" s="11"/>
      <x:c r="E21" s="2"/>
    </x:row>
    <x:row r="22" ht="48" customHeight="1">
      <x:c r="A22" s="2" t="str">
        <x:v>接触与驱动</x:v>
      </x:c>
      <x:c r="B22" s="11" t="str">
        <x:v>碰撞几何简化，摩擦为示例值；转矩输入不含电机电气模型、驱动限幅或平衡控制器。</x:v>
      </x:c>
      <x:c r="C22" s="11"/>
      <x:c r="D22" s="11"/>
      <x:c r="E22" s="2"/>
    </x:row>
    <x:row r="23" ht="48" customHeight="1">
      <x:c r="A23" s="8" t="str">
        <x:v>训练用途</x:v>
      </x:c>
      <x:c r="B23" s="20" t="str">
        <x:v>提供物理模型及直接转矩输入；奖励、观测、控制周期和域随机化需按训练任务设置。</x:v>
      </x:c>
      <x:c r="C23" s="11"/>
      <x:c r="D23" s="11"/>
      <x:c r="E23" s="2"/>
    </x:row>
    <x:row r="24" ht="48" customHeight="1">
      <x:c r="A24" s="2" t="str">
        <x:v>模型来源</x:v>
      </x:c>
      <x:c r="B24" s="11" t="str">
        <x:v>立创开源广场 / ye harold；用户实测尺寸、照片与称重。</x:v>
      </x:c>
      <x:c r="C24" s="11"/>
      <x:c r="D24" s="11"/>
      <x:c r="E24" s="2"/>
    </x:row>
    <x:row r="25" ht="48" customHeight="1">
      <x:c r="A25" s="8" t="str">
        <x:v>项目链接</x:v>
      </x:c>
      <x:c r="B25" s="20" t="str">
        <x:v>https://oshwhub.com/yeharold/foc-balance-caresp32s3arduino</x:v>
      </x:c>
      <x:c r="C25" s="11"/>
      <x:c r="D25" s="11"/>
      <x:c r="E25" s="2"/>
    </x:row>
    <x:row r="26" ht="48" customHeight="1">
      <x:c r="A26" s="2" t="str">
        <x:v>MATLAB接口说明</x:v>
      </x:c>
      <x:c r="B26" s="11" t="str">
        <x:v>https://www.mathworks.com/help/robotics/ref/importrobot.html</x:v>
      </x:c>
      <x:c r="C26" s="11"/>
      <x:c r="D26" s="11"/>
      <x:c r="E26" s="2"/>
    </x:row>
    <x:row r="27" ht="48" customHeight="1">
      <x:c r="A27" s="8" t="str">
        <x:v>MuJoCo格式说明</x:v>
      </x:c>
      <x:c r="B27" s="20" t="str">
        <x:v>https://mujoco.readthedocs.io/en/latest/XMLreference.html</x:v>
      </x:c>
      <x:c r="C27" s="11"/>
      <x:c r="D27" s="11"/>
      <x:c r="E27" s="2"/>
    </x:row>
    <x:row r="28" ht="25" customHeight="1">
      <x:c r="A28" s="2"/>
      <x:c r="B28" s="2"/>
      <x:c r="C28" s="2"/>
      <x:c r="D28" s="2"/>
      <x:c r="E28" s="2"/>
    </x:row>
  </x:sheetData>
  <x:mergeCells>
    <x:mergeCell ref="B20:D20"/>
    <x:mergeCell ref="B21:D21"/>
    <x:mergeCell ref="B22:D22"/>
    <x:mergeCell ref="B23:D23"/>
    <x:mergeCell ref="B24:D24"/>
    <x:mergeCell ref="B25:D25"/>
    <x:mergeCell ref="B26:D26"/>
    <x:mergeCell ref="B27:D27"/>
  </x:mergeCells>
  <x:pageMargins left="0.7" right="0.7" top="0.75" bottom="0.75" header="0.3" footer="0.3"/>
</x:worksheet>
</file>